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<sst xmlns="http://schemas.openxmlformats.org/spreadsheetml/2006/main" count="101" uniqueCount="44">
  <si>
    <t>Income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</si>
  <si>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</si>
  <si>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</si>
  <si>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</si>
  <si>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</si>
  <si>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</si>
  <si>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</si>
  <si>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</si>
  <si>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</si>
  <si>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</si>
  <si>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</si>
  <si>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</si>
  <si>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</si>
  <si>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</si>
  <si>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Wages</t>
  </si>
  <si>
    <t>Bonus / Gift</t>
  </si>
  <si>
    <t>Other</t>
  </si>
  <si>
    <t>Roommates</t>
  </si>
  <si>
    <t>Fixed Expenses</t>
  </si>
  <si>
    <t>Car Payment</t>
  </si>
  <si>
    <t>Rent</t>
  </si>
  <si>
    <t>Wifi / Phone</t>
  </si>
  <si>
    <t>Bike</t>
  </si>
  <si>
    <t>Priority Expenses</t>
  </si>
  <si>
    <t>Groceries</t>
  </si>
  <si>
    <t>Gas</t>
  </si>
  <si>
    <t>Car Insurance</t>
  </si>
  <si>
    <t>Utilities</t>
  </si>
  <si>
    <t>Non-Priority Expenses</t>
  </si>
  <si>
    <t>Toiletries/Household</t>
  </si>
  <si>
    <t>Subscriptions/Savings</t>
  </si>
  <si>
    <t>Dining Out</t>
  </si>
  <si>
    <t>Coffee</t>
  </si>
  <si>
    <t>Entertainment</t>
  </si>
  <si>
    <t>Clothes</t>
  </si>
  <si>
    <t>Alcohol / Nicotine / Gum</t>
  </si>
  <si>
    <t>Gifts :)</t>
  </si>
  <si>
    <t>Health</t>
  </si>
  <si>
    <t>Trips</t>
  </si>
  <si>
    <t>George</t>
  </si>
  <si>
    <t>Total Expenses</t>
  </si>
  <si>
    <t>Budget Surplus</t>
  </si>
  <si>
    <t>Mike Owe</t>
  </si>
  <si>
    <t>Michelle Owe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</si>
</sst>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&quot;$&quot;* #,##0.00_);_(&quot;$&quot;* \(#,##0.00\);_(&quot;$&quot;* &quot;-&quot;??_);_(@_)"/>
    <numFmt numFmtId="165" formatCode="&quot;$&quot;#,##0.00"/>
  </numFmts>
  <fonts count="8">
    <font>
      <sz val="10.0"/>
      <color rgb="FF000000"/>
      <name val="Arial"/>
      <scheme val="minor"/>
    </font>
    <font>
      <b/>
      <color rgb="FFFFFFFF"/>
      <name val="Century Gothic"/>
    </font>
    <font>
      <color theme="1"/>
      <name val="Century Gothic"/>
    </font>
    <font>
      <color rgb="FF000000"/>
      <name val="Century Gothic"/>
    </font>
    <font>
      <b/>
      <color rgb="FF000000"/>
      <name val="Century Gothic"/>
    </font>
    <font>
      <sz val="11.0"/>
      <color theme="1"/>
      <name val="Century Gothic"/>
    </font>
    <font>
      <sz val="10.0"/>
      <color theme="1"/>
      <name val="Century Gothic"/>
    </font>
    <font>
      <b/>
      <color theme="1"/>
      <name val="Century Gothic"/>
    </font>
  </fonts>
  <fills count="8">
    <fill>
      <patternFill patternType="none"/>
    </fill>
    <fill>
      <patternFill patternType="lightGray"/>
    </fill>
    <fill>
      <patternFill patternType="solid">
        <fgColor rgb="FF8989EB"/>
        <bgColor rgb="FF8989EB"/>
      </patternFill>
    </fill>
    <fill>
      <patternFill patternType="solid">
        <fgColor rgb="FF26A69A"/>
        <bgColor rgb="FF26A69A"/>
      </patternFill>
    </fill>
    <fill>
      <patternFill patternType="solid">
        <fgColor rgb="FFB7E1CD"/>
        <bgColor rgb="FFB7E1CD"/>
      </patternFill>
    </fill>
    <fill>
      <patternFill patternType="solid">
        <fgColor rgb="FF4472C4"/>
        <bgColor rgb="FF4472C4"/>
      </patternFill>
    </fill>
    <fill>
      <patternFill patternType="solid">
        <fgColor rgb="FF9BEBBA"/>
        <bgColor rgb="FF9BEBBA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164" xfId="0" applyAlignment="1" applyFont="1" applyNumberFormat="1">
      <alignment readingOrder="0" vertical="bottom"/>
    </xf>
    <xf borderId="0" fillId="0" fontId="2" numFmtId="164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3" fontId="1" numFmtId="0" xfId="0" applyAlignment="1" applyFill="1" applyFont="1">
      <alignment vertical="bottom"/>
    </xf>
    <xf borderId="0" fillId="3" fontId="1" numFmtId="0" xfId="0" applyAlignment="1" applyFont="1">
      <alignment horizontal="center" vertical="bottom"/>
    </xf>
    <xf borderId="0" fillId="4" fontId="1" numFmtId="0" xfId="0" applyAlignment="1" applyFill="1" applyFont="1">
      <alignment vertical="bottom"/>
    </xf>
    <xf borderId="0" fillId="4" fontId="1" numFmtId="0" xfId="0" applyAlignment="1" applyFont="1">
      <alignment horizontal="center" vertical="bottom"/>
    </xf>
    <xf borderId="0" fillId="0" fontId="2" numFmtId="164" xfId="0" applyAlignment="1" applyFont="1" applyNumberFormat="1">
      <alignment horizontal="right" readingOrder="0" vertical="bottom"/>
    </xf>
    <xf borderId="0" fillId="5" fontId="1" numFmtId="0" xfId="0" applyAlignment="1" applyFill="1" applyFont="1">
      <alignment vertical="bottom"/>
    </xf>
    <xf borderId="0" fillId="5" fontId="1" numFmtId="0" xfId="0" applyAlignment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0" fillId="0" fontId="6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6" fontId="2" numFmtId="0" xfId="0" applyAlignment="1" applyFill="1" applyFont="1">
      <alignment vertical="bottom"/>
    </xf>
    <xf borderId="0" fillId="6" fontId="1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2" numFmtId="165" xfId="0" applyAlignment="1" applyFont="1" applyNumberFormat="1">
      <alignment vertical="bottom"/>
    </xf>
    <xf borderId="0" fillId="7" fontId="2" numFmtId="0" xfId="0" applyAlignment="1" applyFill="1" applyFont="1">
      <alignment vertical="bottom"/>
    </xf>
    <xf borderId="0" fillId="0" fontId="2" numFmtId="4" xfId="0" applyAlignment="1" applyFont="1" applyNumberFormat="1">
      <alignment readingOrder="0"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14</v>
      </c>
      <c r="B2" s="5">
        <v>3750.0</v>
      </c>
      <c r="C2" s="5">
        <v>3750.0</v>
      </c>
      <c r="D2" s="5">
        <v>3750.0</v>
      </c>
      <c r="E2" s="5">
        <v>3750.0</v>
      </c>
      <c r="F2" s="5">
        <v>3750.0</v>
      </c>
      <c r="G2" s="5">
        <v>3750.0</v>
      </c>
      <c r="H2" s="5">
        <v>3750.0</v>
      </c>
      <c r="I2" s="5">
        <v>3800.0</v>
      </c>
      <c r="J2" s="5">
        <v>3800.0</v>
      </c>
      <c r="K2" s="5">
        <v>3800.0</v>
      </c>
      <c r="L2" s="5">
        <v>3800.0</v>
      </c>
      <c r="M2" s="5">
        <v>3800.0</v>
      </c>
      <c r="N2" s="6">
        <f t="shared" ref="N2:N6" si="1">sum(B2:M2)</f>
        <v>45250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 t="s">
        <v>15</v>
      </c>
      <c r="B3" s="6"/>
      <c r="C3" s="5">
        <v>1662.27</v>
      </c>
      <c r="D3" s="6"/>
      <c r="E3" s="5">
        <v>1300.0</v>
      </c>
      <c r="F3" s="5">
        <v>200.0</v>
      </c>
      <c r="G3" s="6"/>
      <c r="H3" s="6"/>
      <c r="I3" s="5">
        <v>1000.0</v>
      </c>
      <c r="J3" s="6"/>
      <c r="K3" s="6"/>
      <c r="L3" s="6"/>
      <c r="M3" s="6"/>
      <c r="N3" s="6">
        <f t="shared" si="1"/>
        <v>4162.27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16</v>
      </c>
      <c r="B4" s="5">
        <v>130.0</v>
      </c>
      <c r="C4" s="5">
        <v>130.0</v>
      </c>
      <c r="D4" s="5">
        <v>130.0</v>
      </c>
      <c r="E4" s="5">
        <v>130.0</v>
      </c>
      <c r="F4" s="5">
        <v>130.0</v>
      </c>
      <c r="G4" s="5">
        <v>130.0</v>
      </c>
      <c r="H4" s="5">
        <v>130.0</v>
      </c>
      <c r="I4" s="5">
        <v>130.0</v>
      </c>
      <c r="J4" s="5">
        <v>130.0</v>
      </c>
      <c r="K4" s="5">
        <v>130.0</v>
      </c>
      <c r="L4" s="5">
        <v>130.0</v>
      </c>
      <c r="M4" s="5">
        <v>130.0</v>
      </c>
      <c r="N4" s="6">
        <f t="shared" si="1"/>
        <v>1560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6">
        <f t="shared" si="1"/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8" t="s">
        <v>13</v>
      </c>
      <c r="B6" s="9">
        <f t="shared" ref="B6:M6" si="2">sum(B2:B5)</f>
        <v>3880</v>
      </c>
      <c r="C6" s="9">
        <f t="shared" si="2"/>
        <v>5542.27</v>
      </c>
      <c r="D6" s="9">
        <f t="shared" si="2"/>
        <v>3880</v>
      </c>
      <c r="E6" s="9">
        <f t="shared" si="2"/>
        <v>5180</v>
      </c>
      <c r="F6" s="9">
        <f t="shared" si="2"/>
        <v>4080</v>
      </c>
      <c r="G6" s="9">
        <f t="shared" si="2"/>
        <v>3880</v>
      </c>
      <c r="H6" s="9">
        <f t="shared" si="2"/>
        <v>3880</v>
      </c>
      <c r="I6" s="9">
        <f t="shared" si="2"/>
        <v>4930</v>
      </c>
      <c r="J6" s="9">
        <f t="shared" si="2"/>
        <v>3930</v>
      </c>
      <c r="K6" s="9">
        <f t="shared" si="2"/>
        <v>3930</v>
      </c>
      <c r="L6" s="9">
        <f t="shared" si="2"/>
        <v>3930</v>
      </c>
      <c r="M6" s="9">
        <f t="shared" si="2"/>
        <v>3930</v>
      </c>
      <c r="N6" s="9">
        <f t="shared" si="1"/>
        <v>50972.27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0" t="s">
        <v>18</v>
      </c>
      <c r="B8" s="11" t="s">
        <v>1</v>
      </c>
      <c r="C8" s="11" t="s">
        <v>2</v>
      </c>
      <c r="D8" s="11" t="s">
        <v>3</v>
      </c>
      <c r="E8" s="11" t="s">
        <v>4</v>
      </c>
      <c r="F8" s="11" t="s">
        <v>5</v>
      </c>
      <c r="G8" s="11" t="s">
        <v>6</v>
      </c>
      <c r="H8" s="11" t="s">
        <v>7</v>
      </c>
      <c r="I8" s="11" t="s">
        <v>8</v>
      </c>
      <c r="J8" s="11" t="s">
        <v>9</v>
      </c>
      <c r="K8" s="11" t="s">
        <v>10</v>
      </c>
      <c r="L8" s="11" t="s">
        <v>11</v>
      </c>
      <c r="M8" s="11" t="s">
        <v>12</v>
      </c>
      <c r="N8" s="11" t="s">
        <v>13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19</v>
      </c>
      <c r="B9" s="5">
        <v>221.05</v>
      </c>
      <c r="C9" s="5">
        <v>221.05</v>
      </c>
      <c r="D9" s="5">
        <v>221.05</v>
      </c>
      <c r="E9" s="5">
        <v>221.05</v>
      </c>
      <c r="F9" s="5">
        <v>221.05</v>
      </c>
      <c r="G9" s="5">
        <v>221.05</v>
      </c>
      <c r="H9" s="5">
        <v>221.05</v>
      </c>
      <c r="I9" s="5">
        <v>309.05</v>
      </c>
      <c r="J9" s="5">
        <v>221.05</v>
      </c>
      <c r="K9" s="5">
        <v>228.05</v>
      </c>
      <c r="L9" s="5">
        <v>221.05</v>
      </c>
      <c r="M9" s="5">
        <v>221.05</v>
      </c>
      <c r="N9" s="9">
        <f t="shared" ref="N9:N13" si="3">sum(B9:M9)</f>
        <v>2747.6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20</v>
      </c>
      <c r="B10" s="5">
        <v>1000.0</v>
      </c>
      <c r="C10" s="5">
        <v>1000.0</v>
      </c>
      <c r="D10" s="5">
        <v>1000.0</v>
      </c>
      <c r="E10" s="5">
        <v>1000.0</v>
      </c>
      <c r="F10" s="5">
        <v>1000.0</v>
      </c>
      <c r="G10" s="5">
        <v>1000.0</v>
      </c>
      <c r="H10" s="5">
        <v>1000.0</v>
      </c>
      <c r="I10" s="5">
        <v>1000.0</v>
      </c>
      <c r="J10" s="5">
        <v>1000.0</v>
      </c>
      <c r="K10" s="5">
        <v>1000.0</v>
      </c>
      <c r="L10" s="5">
        <v>1000.0</v>
      </c>
      <c r="M10" s="5">
        <v>1000.0</v>
      </c>
      <c r="N10" s="9">
        <f t="shared" si="3"/>
        <v>12000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7" t="s">
        <v>21</v>
      </c>
      <c r="B11" s="5">
        <v>140.0</v>
      </c>
      <c r="C11" s="5">
        <v>140.0</v>
      </c>
      <c r="D11" s="5">
        <v>149.0</v>
      </c>
      <c r="E11" s="5">
        <v>140.0</v>
      </c>
      <c r="F11" s="5">
        <v>227.8</v>
      </c>
      <c r="G11" s="5">
        <v>140.0</v>
      </c>
      <c r="H11" s="5">
        <v>140.0</v>
      </c>
      <c r="I11" s="5">
        <v>140.0</v>
      </c>
      <c r="J11" s="5">
        <v>140.0</v>
      </c>
      <c r="K11" s="5">
        <v>140.0</v>
      </c>
      <c r="L11" s="5">
        <v>140.0</v>
      </c>
      <c r="M11" s="5">
        <v>140.0</v>
      </c>
      <c r="N11" s="9">
        <f t="shared" si="3"/>
        <v>1776.8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7" t="s">
        <v>22</v>
      </c>
      <c r="B12" s="5">
        <v>74.0</v>
      </c>
      <c r="C12" s="5">
        <v>90.0</v>
      </c>
      <c r="D12" s="5">
        <v>0.0</v>
      </c>
      <c r="E12" s="5">
        <v>0.0</v>
      </c>
      <c r="F12" s="5">
        <v>0.0</v>
      </c>
      <c r="G12" s="5">
        <v>0.0</v>
      </c>
      <c r="H12" s="5">
        <v>0.0</v>
      </c>
      <c r="I12" s="5">
        <v>0.0</v>
      </c>
      <c r="J12" s="5">
        <v>0.0</v>
      </c>
      <c r="K12" s="5">
        <v>0.0</v>
      </c>
      <c r="L12" s="5">
        <v>0.0</v>
      </c>
      <c r="M12" s="5">
        <v>0.0</v>
      </c>
      <c r="N12" s="9">
        <f t="shared" si="3"/>
        <v>164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8" t="s">
        <v>13</v>
      </c>
      <c r="B13" s="6">
        <f t="shared" ref="B13:M13" si="4">sum(B9:B12)</f>
        <v>1435.05</v>
      </c>
      <c r="C13" s="6">
        <f t="shared" si="4"/>
        <v>1451.05</v>
      </c>
      <c r="D13" s="6">
        <f t="shared" si="4"/>
        <v>1370.05</v>
      </c>
      <c r="E13" s="6">
        <f t="shared" si="4"/>
        <v>1361.05</v>
      </c>
      <c r="F13" s="6">
        <f t="shared" si="4"/>
        <v>1448.85</v>
      </c>
      <c r="G13" s="6">
        <f t="shared" si="4"/>
        <v>1361.05</v>
      </c>
      <c r="H13" s="6">
        <f t="shared" si="4"/>
        <v>1361.05</v>
      </c>
      <c r="I13" s="6">
        <f t="shared" si="4"/>
        <v>1449.05</v>
      </c>
      <c r="J13" s="6">
        <f t="shared" si="4"/>
        <v>1361.05</v>
      </c>
      <c r="K13" s="6">
        <f t="shared" si="4"/>
        <v>1368.05</v>
      </c>
      <c r="L13" s="6">
        <f t="shared" si="4"/>
        <v>1361.05</v>
      </c>
      <c r="M13" s="6">
        <f t="shared" si="4"/>
        <v>1361.05</v>
      </c>
      <c r="N13" s="9">
        <f t="shared" si="3"/>
        <v>16688.4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2" t="s">
        <v>23</v>
      </c>
      <c r="B15" s="13" t="s">
        <v>1</v>
      </c>
      <c r="C15" s="13" t="s">
        <v>2</v>
      </c>
      <c r="D15" s="13" t="s">
        <v>3</v>
      </c>
      <c r="E15" s="13" t="s">
        <v>4</v>
      </c>
      <c r="F15" s="13" t="s">
        <v>5</v>
      </c>
      <c r="G15" s="13" t="s">
        <v>6</v>
      </c>
      <c r="H15" s="13" t="s">
        <v>7</v>
      </c>
      <c r="I15" s="13" t="s">
        <v>8</v>
      </c>
      <c r="J15" s="13" t="s">
        <v>9</v>
      </c>
      <c r="K15" s="13" t="s">
        <v>10</v>
      </c>
      <c r="L15" s="13" t="s">
        <v>11</v>
      </c>
      <c r="M15" s="13" t="s">
        <v>12</v>
      </c>
      <c r="N15" s="13" t="s">
        <v>13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24</v>
      </c>
      <c r="B16" s="5">
        <v>585.0</v>
      </c>
      <c r="C16" s="5">
        <v>415.0</v>
      </c>
      <c r="D16" s="5">
        <v>761.27</v>
      </c>
      <c r="E16" s="5">
        <v>640.21</v>
      </c>
      <c r="F16" s="5">
        <v>632.45</v>
      </c>
      <c r="G16" s="5">
        <v>394.30999999999995</v>
      </c>
      <c r="H16" s="5">
        <v>606.79</v>
      </c>
      <c r="I16" s="5">
        <v>275.46000000000004</v>
      </c>
      <c r="J16" s="14">
        <v>739.34</v>
      </c>
      <c r="K16" s="14">
        <v>396.47</v>
      </c>
      <c r="L16" s="14">
        <v>381.77000000000004</v>
      </c>
      <c r="M16" s="14">
        <v>588.5500000000001</v>
      </c>
      <c r="N16" s="6">
        <f t="shared" ref="N16:N20" si="5">sum(B16:M16)</f>
        <v>6416.62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25</v>
      </c>
      <c r="B17" s="5">
        <v>90.54</v>
      </c>
      <c r="C17" s="5">
        <v>76.0</v>
      </c>
      <c r="D17" s="5">
        <v>91.28</v>
      </c>
      <c r="E17" s="5">
        <v>88.84</v>
      </c>
      <c r="F17" s="5">
        <v>64.91</v>
      </c>
      <c r="G17" s="5">
        <v>85.18</v>
      </c>
      <c r="H17" s="5">
        <v>91.49000000000001</v>
      </c>
      <c r="I17" s="5">
        <v>50.96</v>
      </c>
      <c r="J17" s="14">
        <v>63.879999999999995</v>
      </c>
      <c r="K17" s="14">
        <v>88.07000000000001</v>
      </c>
      <c r="L17" s="14">
        <v>119.0</v>
      </c>
      <c r="M17" s="14">
        <v>28.61</v>
      </c>
      <c r="N17" s="6">
        <f t="shared" si="5"/>
        <v>938.76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26</v>
      </c>
      <c r="B18" s="5">
        <v>111.9</v>
      </c>
      <c r="C18" s="5">
        <v>111.9</v>
      </c>
      <c r="D18" s="5">
        <v>181.9</v>
      </c>
      <c r="E18" s="5">
        <v>71.72</v>
      </c>
      <c r="F18" s="5">
        <v>71.68</v>
      </c>
      <c r="G18" s="5">
        <v>71.68</v>
      </c>
      <c r="H18" s="5">
        <v>71.68</v>
      </c>
      <c r="I18" s="5">
        <v>71.68</v>
      </c>
      <c r="J18" s="14">
        <v>71.68</v>
      </c>
      <c r="K18" s="14">
        <v>71.68</v>
      </c>
      <c r="L18" s="14">
        <v>71.68</v>
      </c>
      <c r="M18" s="14">
        <v>71.68</v>
      </c>
      <c r="N18" s="6">
        <f t="shared" si="5"/>
        <v>1050.86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7" t="s">
        <v>27</v>
      </c>
      <c r="B19" s="5">
        <v>0.0</v>
      </c>
      <c r="C19" s="5">
        <v>226.43</v>
      </c>
      <c r="D19" s="5">
        <v>23.75</v>
      </c>
      <c r="E19" s="5">
        <v>173.46</v>
      </c>
      <c r="F19" s="5">
        <v>0.0</v>
      </c>
      <c r="G19" s="5">
        <v>90.7</v>
      </c>
      <c r="H19" s="5">
        <v>16.83</v>
      </c>
      <c r="I19" s="5">
        <v>74.34</v>
      </c>
      <c r="J19" s="14">
        <v>16.7</v>
      </c>
      <c r="K19" s="14">
        <v>12.58</v>
      </c>
      <c r="L19" s="14">
        <v>65.98</v>
      </c>
      <c r="M19" s="14">
        <v>120.03999999999999</v>
      </c>
      <c r="N19" s="6">
        <f t="shared" si="5"/>
        <v>820.81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8" t="s">
        <v>13</v>
      </c>
      <c r="B20" s="6">
        <f t="shared" ref="B20:M20" si="6">sum(B16:B19)</f>
        <v>787.44</v>
      </c>
      <c r="C20" s="6">
        <f t="shared" si="6"/>
        <v>829.33</v>
      </c>
      <c r="D20" s="6">
        <f t="shared" si="6"/>
        <v>1058.2</v>
      </c>
      <c r="E20" s="6">
        <f t="shared" si="6"/>
        <v>974.23</v>
      </c>
      <c r="F20" s="6">
        <f t="shared" si="6"/>
        <v>769.04</v>
      </c>
      <c r="G20" s="6">
        <f t="shared" si="6"/>
        <v>641.87</v>
      </c>
      <c r="H20" s="6">
        <f t="shared" si="6"/>
        <v>786.79</v>
      </c>
      <c r="I20" s="6">
        <f t="shared" si="6"/>
        <v>472.44</v>
      </c>
      <c r="J20" s="6">
        <f t="shared" si="6"/>
        <v>891.6</v>
      </c>
      <c r="K20" s="6">
        <f t="shared" si="6"/>
        <v>568.8</v>
      </c>
      <c r="L20" s="6">
        <f t="shared" si="6"/>
        <v>638.43</v>
      </c>
      <c r="M20" s="6">
        <f t="shared" si="6"/>
        <v>808.88</v>
      </c>
      <c r="N20" s="6">
        <f t="shared" si="5"/>
        <v>9227.05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5" t="s">
        <v>28</v>
      </c>
      <c r="B22" s="16" t="s">
        <v>1</v>
      </c>
      <c r="C22" s="16" t="s">
        <v>2</v>
      </c>
      <c r="D22" s="16" t="s">
        <v>3</v>
      </c>
      <c r="E22" s="16" t="s">
        <v>4</v>
      </c>
      <c r="F22" s="16" t="s">
        <v>5</v>
      </c>
      <c r="G22" s="16" t="s">
        <v>6</v>
      </c>
      <c r="H22" s="16" t="s">
        <v>7</v>
      </c>
      <c r="I22" s="16" t="s">
        <v>8</v>
      </c>
      <c r="J22" s="16" t="s">
        <v>9</v>
      </c>
      <c r="K22" s="16" t="s">
        <v>10</v>
      </c>
      <c r="L22" s="16" t="s">
        <v>11</v>
      </c>
      <c r="M22" s="16" t="s">
        <v>12</v>
      </c>
      <c r="N22" s="16" t="s">
        <v>13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7" t="s">
        <v>29</v>
      </c>
      <c r="B23" s="5">
        <v>962.59</v>
      </c>
      <c r="C23" s="5">
        <v>1829.0</v>
      </c>
      <c r="D23" s="5">
        <v>1067.1299999999999</v>
      </c>
      <c r="E23" s="5">
        <v>773.4000000000001</v>
      </c>
      <c r="F23" s="5">
        <v>273.67</v>
      </c>
      <c r="G23" s="5">
        <v>312.88000000000005</v>
      </c>
      <c r="H23" s="5">
        <v>307.64000000000004</v>
      </c>
      <c r="I23" s="5">
        <v>204.59</v>
      </c>
      <c r="J23" s="5">
        <v>251.15</v>
      </c>
      <c r="K23" s="5">
        <v>254.96</v>
      </c>
      <c r="L23" s="5">
        <v>263.91</v>
      </c>
      <c r="M23" s="5">
        <v>197.0</v>
      </c>
      <c r="N23" s="6">
        <f t="shared" ref="N23:N29" si="7">sum(B23:M23)</f>
        <v>6697.92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7" t="s">
        <v>30</v>
      </c>
      <c r="B24" s="5">
        <v>160.0</v>
      </c>
      <c r="C24" s="5">
        <v>191.0</v>
      </c>
      <c r="D24" s="5">
        <v>340.0</v>
      </c>
      <c r="E24" s="5">
        <v>270.0</v>
      </c>
      <c r="F24" s="5">
        <v>322.0</v>
      </c>
      <c r="G24" s="5">
        <v>300.0</v>
      </c>
      <c r="H24" s="5">
        <v>300.0</v>
      </c>
      <c r="I24" s="5">
        <v>300.0</v>
      </c>
      <c r="J24" s="5">
        <v>300.0</v>
      </c>
      <c r="K24" s="5">
        <v>300.0</v>
      </c>
      <c r="L24" s="5">
        <v>330.0</v>
      </c>
      <c r="M24" s="5">
        <v>300.0</v>
      </c>
      <c r="N24" s="6">
        <f t="shared" si="7"/>
        <v>3413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31</v>
      </c>
      <c r="B25" s="5">
        <v>15.0</v>
      </c>
      <c r="C25" s="5">
        <v>115.0</v>
      </c>
      <c r="D25" s="5">
        <v>23.0</v>
      </c>
      <c r="E25" s="5">
        <v>0.0</v>
      </c>
      <c r="F25" s="5">
        <v>0.0</v>
      </c>
      <c r="G25" s="5">
        <v>0.0</v>
      </c>
      <c r="H25" s="5">
        <v>95.62</v>
      </c>
      <c r="I25" s="5">
        <v>37.32</v>
      </c>
      <c r="J25" s="5">
        <v>0.0</v>
      </c>
      <c r="K25" s="5">
        <v>0.0</v>
      </c>
      <c r="L25" s="5">
        <v>49.28</v>
      </c>
      <c r="M25" s="5">
        <v>131.03</v>
      </c>
      <c r="N25" s="6">
        <f t="shared" si="7"/>
        <v>466.25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32</v>
      </c>
      <c r="B26" s="5">
        <v>30.0</v>
      </c>
      <c r="C26" s="5">
        <v>42.0</v>
      </c>
      <c r="D26" s="5">
        <v>30.0</v>
      </c>
      <c r="E26" s="5">
        <v>30.0</v>
      </c>
      <c r="F26" s="5">
        <v>30.0</v>
      </c>
      <c r="G26" s="5">
        <v>30.0</v>
      </c>
      <c r="H26" s="5">
        <v>30.0</v>
      </c>
      <c r="I26" s="5">
        <v>30.0</v>
      </c>
      <c r="J26" s="5">
        <v>30.0</v>
      </c>
      <c r="K26" s="5">
        <v>30.0</v>
      </c>
      <c r="L26" s="5">
        <v>30.0</v>
      </c>
      <c r="M26" s="5">
        <v>30.0</v>
      </c>
      <c r="N26" s="6">
        <f t="shared" si="7"/>
        <v>372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33</v>
      </c>
      <c r="B27" s="5">
        <v>0.0</v>
      </c>
      <c r="C27" s="5">
        <v>0.0</v>
      </c>
      <c r="D27" s="5">
        <v>0.0</v>
      </c>
      <c r="E27" s="5">
        <v>0.0</v>
      </c>
      <c r="F27" s="5">
        <v>0.0</v>
      </c>
      <c r="G27" s="5">
        <v>0.0</v>
      </c>
      <c r="H27" s="5">
        <v>37.79</v>
      </c>
      <c r="I27" s="5">
        <v>36.94</v>
      </c>
      <c r="J27" s="5">
        <v>9.08</v>
      </c>
      <c r="K27" s="5">
        <v>179.0</v>
      </c>
      <c r="L27" s="5">
        <v>0.0</v>
      </c>
      <c r="M27" s="5">
        <v>0.0</v>
      </c>
      <c r="N27" s="6">
        <f t="shared" si="7"/>
        <v>262.81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34</v>
      </c>
      <c r="B28" s="5">
        <v>30.79</v>
      </c>
      <c r="C28" s="5">
        <v>0.0</v>
      </c>
      <c r="D28" s="5">
        <v>0.0</v>
      </c>
      <c r="E28" s="5">
        <v>9.93</v>
      </c>
      <c r="F28" s="5">
        <v>42.0</v>
      </c>
      <c r="G28" s="5">
        <v>102.81</v>
      </c>
      <c r="H28" s="5">
        <v>217.15</v>
      </c>
      <c r="I28" s="5">
        <v>189.11</v>
      </c>
      <c r="J28" s="5">
        <v>664.16</v>
      </c>
      <c r="K28" s="5">
        <v>187.14999999999998</v>
      </c>
      <c r="L28" s="5">
        <v>0.0</v>
      </c>
      <c r="M28" s="5">
        <v>0.0</v>
      </c>
      <c r="N28" s="6">
        <f t="shared" si="7"/>
        <v>1443.1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8" t="s">
        <v>35</v>
      </c>
      <c r="B29" s="5">
        <v>178.0</v>
      </c>
      <c r="C29" s="5">
        <v>200.0</v>
      </c>
      <c r="D29" s="5">
        <v>318.21</v>
      </c>
      <c r="E29" s="5">
        <v>246.47000000000003</v>
      </c>
      <c r="F29" s="5">
        <v>270.07</v>
      </c>
      <c r="G29" s="5">
        <v>293.10999999999996</v>
      </c>
      <c r="H29" s="5">
        <v>228.99999999999997</v>
      </c>
      <c r="I29" s="5">
        <v>375.37000000000006</v>
      </c>
      <c r="J29" s="5">
        <v>246.63</v>
      </c>
      <c r="K29" s="5">
        <v>330.25</v>
      </c>
      <c r="L29" s="5">
        <v>355.38</v>
      </c>
      <c r="M29" s="5">
        <v>255.31</v>
      </c>
      <c r="N29" s="6">
        <f t="shared" si="7"/>
        <v>3297.8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36</v>
      </c>
      <c r="B30" s="5">
        <v>15.0</v>
      </c>
      <c r="C30" s="5">
        <v>0.0</v>
      </c>
      <c r="D30" s="5"/>
      <c r="E30" s="5">
        <v>0.0</v>
      </c>
      <c r="F30" s="5">
        <v>0.0</v>
      </c>
      <c r="G30" s="5">
        <v>0.0</v>
      </c>
      <c r="H30" s="5">
        <v>0.0</v>
      </c>
      <c r="I30" s="5">
        <v>0.0</v>
      </c>
      <c r="J30" s="5">
        <v>172.0</v>
      </c>
      <c r="K30" s="5">
        <v>0.0</v>
      </c>
      <c r="L30" s="5">
        <v>0.0</v>
      </c>
      <c r="M30" s="5">
        <v>35.0</v>
      </c>
      <c r="N30" s="6">
        <f>SUM(B30:M30)</f>
        <v>222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 t="s">
        <v>37</v>
      </c>
      <c r="B31" s="5">
        <v>352.72</v>
      </c>
      <c r="C31" s="5">
        <v>320.23</v>
      </c>
      <c r="D31" s="5">
        <v>172.0</v>
      </c>
      <c r="E31" s="5">
        <v>417.48</v>
      </c>
      <c r="F31" s="5">
        <v>150.95</v>
      </c>
      <c r="G31" s="5">
        <v>20.0</v>
      </c>
      <c r="H31" s="5">
        <v>41.73</v>
      </c>
      <c r="I31" s="5">
        <v>1211.41</v>
      </c>
      <c r="J31" s="5">
        <v>93.0</v>
      </c>
      <c r="K31" s="5">
        <v>513.69</v>
      </c>
      <c r="L31" s="5">
        <v>30.0</v>
      </c>
      <c r="M31" s="5">
        <v>33.55</v>
      </c>
      <c r="N31" s="6">
        <f>sum(B31:M31)</f>
        <v>3356.76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 t="s">
        <v>38</v>
      </c>
      <c r="B32" s="5">
        <v>0.0</v>
      </c>
      <c r="C32" s="5">
        <v>0.0</v>
      </c>
      <c r="D32" s="5">
        <v>0.0</v>
      </c>
      <c r="E32" s="5">
        <v>480.6</v>
      </c>
      <c r="F32" s="5">
        <v>14.0</v>
      </c>
      <c r="G32" s="5">
        <v>0.0</v>
      </c>
      <c r="H32" s="5">
        <v>38.84</v>
      </c>
      <c r="I32" s="5">
        <v>1081.31</v>
      </c>
      <c r="J32" s="5">
        <v>0.0</v>
      </c>
      <c r="K32" s="5">
        <v>0.0</v>
      </c>
      <c r="L32" s="5">
        <v>177.0</v>
      </c>
      <c r="M32" s="5">
        <v>0.0</v>
      </c>
      <c r="N32" s="6">
        <f t="shared" ref="N32:N35" si="8">SUM(B32:M32)</f>
        <v>1791.75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9" t="s">
        <v>39</v>
      </c>
      <c r="B33" s="5">
        <v>30.71</v>
      </c>
      <c r="C33" s="5">
        <v>68.5</v>
      </c>
      <c r="D33" s="5">
        <v>45.0</v>
      </c>
      <c r="E33" s="5">
        <v>22.5</v>
      </c>
      <c r="F33" s="5">
        <v>44.63</v>
      </c>
      <c r="G33" s="5">
        <v>49.12</v>
      </c>
      <c r="H33" s="5">
        <v>44.63</v>
      </c>
      <c r="I33" s="5">
        <v>260.0</v>
      </c>
      <c r="J33" s="5">
        <v>50.23</v>
      </c>
      <c r="K33" s="5">
        <v>4.5</v>
      </c>
      <c r="L33" s="5">
        <v>43.0</v>
      </c>
      <c r="M33" s="5">
        <v>33.0</v>
      </c>
      <c r="N33" s="6">
        <f t="shared" si="8"/>
        <v>695.82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7" t="s">
        <v>16</v>
      </c>
      <c r="B34" s="5">
        <v>0.0</v>
      </c>
      <c r="C34" s="5">
        <v>31.0</v>
      </c>
      <c r="D34" s="5">
        <v>87.72</v>
      </c>
      <c r="E34" s="5">
        <v>574.6</v>
      </c>
      <c r="F34" s="5">
        <v>514.0</v>
      </c>
      <c r="G34" s="5">
        <v>345.28999999999996</v>
      </c>
      <c r="H34" s="5">
        <v>396.57</v>
      </c>
      <c r="I34" s="5">
        <v>183.14999999999998</v>
      </c>
      <c r="J34" s="5">
        <v>101.0</v>
      </c>
      <c r="K34" s="5">
        <v>662.41</v>
      </c>
      <c r="L34" s="5">
        <v>826.98</v>
      </c>
      <c r="M34" s="5">
        <v>443.6</v>
      </c>
      <c r="N34" s="6">
        <f t="shared" si="8"/>
        <v>4166.32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8" t="s">
        <v>13</v>
      </c>
      <c r="B35" s="6">
        <f t="shared" ref="B35:M35" si="9">sum(B23:B34)</f>
        <v>1774.81</v>
      </c>
      <c r="C35" s="6">
        <f t="shared" si="9"/>
        <v>2796.73</v>
      </c>
      <c r="D35" s="6">
        <f t="shared" si="9"/>
        <v>2083.06</v>
      </c>
      <c r="E35" s="6">
        <f t="shared" si="9"/>
        <v>2824.98</v>
      </c>
      <c r="F35" s="6">
        <f t="shared" si="9"/>
        <v>1661.32</v>
      </c>
      <c r="G35" s="6">
        <f t="shared" si="9"/>
        <v>1453.21</v>
      </c>
      <c r="H35" s="6">
        <f t="shared" si="9"/>
        <v>1738.97</v>
      </c>
      <c r="I35" s="6">
        <f t="shared" si="9"/>
        <v>3909.2</v>
      </c>
      <c r="J35" s="6">
        <f t="shared" si="9"/>
        <v>1917.25</v>
      </c>
      <c r="K35" s="6">
        <f t="shared" si="9"/>
        <v>2461.96</v>
      </c>
      <c r="L35" s="6">
        <f t="shared" si="9"/>
        <v>2105.55</v>
      </c>
      <c r="M35" s="6">
        <f t="shared" si="9"/>
        <v>1458.49</v>
      </c>
      <c r="N35" s="6">
        <f t="shared" si="8"/>
        <v>26185.53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0"/>
      <c r="B37" s="21" t="s">
        <v>1</v>
      </c>
      <c r="C37" s="21" t="s">
        <v>2</v>
      </c>
      <c r="D37" s="21" t="s">
        <v>3</v>
      </c>
      <c r="E37" s="21" t="s">
        <v>4</v>
      </c>
      <c r="F37" s="21" t="s">
        <v>5</v>
      </c>
      <c r="G37" s="21" t="s">
        <v>6</v>
      </c>
      <c r="H37" s="21" t="s">
        <v>7</v>
      </c>
      <c r="I37" s="21" t="s">
        <v>8</v>
      </c>
      <c r="J37" s="21" t="s">
        <v>9</v>
      </c>
      <c r="K37" s="21" t="s">
        <v>10</v>
      </c>
      <c r="L37" s="21" t="s">
        <v>11</v>
      </c>
      <c r="M37" s="21" t="s">
        <v>12</v>
      </c>
      <c r="N37" s="21" t="s">
        <v>13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2" t="s">
        <v>40</v>
      </c>
      <c r="B38" s="6">
        <f t="shared" ref="B38:M38" si="10">sum(B20,B35,B13)</f>
        <v>3997.3</v>
      </c>
      <c r="C38" s="6">
        <f t="shared" si="10"/>
        <v>5077.11</v>
      </c>
      <c r="D38" s="6">
        <f t="shared" si="10"/>
        <v>4511.31</v>
      </c>
      <c r="E38" s="6">
        <f t="shared" si="10"/>
        <v>5160.26</v>
      </c>
      <c r="F38" s="6">
        <f t="shared" si="10"/>
        <v>3879.21</v>
      </c>
      <c r="G38" s="6">
        <f t="shared" si="10"/>
        <v>3456.13</v>
      </c>
      <c r="H38" s="6">
        <f t="shared" si="10"/>
        <v>3886.81</v>
      </c>
      <c r="I38" s="6">
        <f t="shared" si="10"/>
        <v>5830.69</v>
      </c>
      <c r="J38" s="6">
        <f t="shared" si="10"/>
        <v>4169.9</v>
      </c>
      <c r="K38" s="6">
        <f t="shared" si="10"/>
        <v>4398.81</v>
      </c>
      <c r="L38" s="6">
        <f t="shared" si="10"/>
        <v>4105.03</v>
      </c>
      <c r="M38" s="6">
        <f t="shared" si="10"/>
        <v>3628.42</v>
      </c>
      <c r="N38" s="6">
        <f>SUM(B38:M38)</f>
        <v>52100.98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23"/>
      <c r="L39" s="2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8" t="s">
        <v>41</v>
      </c>
      <c r="B40" s="9">
        <f t="shared" ref="B40:M40" si="11">B6-B38</f>
        <v>-117.3</v>
      </c>
      <c r="C40" s="9">
        <f t="shared" si="11"/>
        <v>465.16</v>
      </c>
      <c r="D40" s="9">
        <f t="shared" si="11"/>
        <v>-631.31</v>
      </c>
      <c r="E40" s="9">
        <f t="shared" si="11"/>
        <v>19.74</v>
      </c>
      <c r="F40" s="9">
        <f t="shared" si="11"/>
        <v>200.79</v>
      </c>
      <c r="G40" s="9">
        <f t="shared" si="11"/>
        <v>423.87</v>
      </c>
      <c r="H40" s="9">
        <f t="shared" si="11"/>
        <v>-6.81</v>
      </c>
      <c r="I40" s="9">
        <f t="shared" si="11"/>
        <v>-900.69</v>
      </c>
      <c r="J40" s="9">
        <f t="shared" si="11"/>
        <v>-239.9</v>
      </c>
      <c r="K40" s="9">
        <f t="shared" si="11"/>
        <v>-468.81</v>
      </c>
      <c r="L40" s="9">
        <f t="shared" si="11"/>
        <v>-175.03</v>
      </c>
      <c r="M40" s="9">
        <f t="shared" si="11"/>
        <v>301.58</v>
      </c>
      <c r="N40" s="9">
        <f>SUM(B40:M40)</f>
        <v>-1128.71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6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19"/>
      <c r="F45" s="19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19"/>
      <c r="C46" s="19"/>
      <c r="D46" s="3"/>
      <c r="E46" s="19"/>
      <c r="F46" s="19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19"/>
      <c r="C47" s="19"/>
      <c r="D47" s="3"/>
      <c r="E47" s="19" t="s">
        <v>42</v>
      </c>
      <c r="F47" s="25">
        <v>1509.74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19"/>
      <c r="C48" s="19"/>
      <c r="D48" s="3"/>
      <c r="E48" s="19" t="s">
        <v>43</v>
      </c>
      <c r="F48" s="25">
        <v>1359.73</v>
      </c>
      <c r="G48" s="3"/>
      <c r="H48" s="19"/>
      <c r="I48" s="19"/>
      <c r="J48" s="19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19"/>
      <c r="I49" s="19"/>
      <c r="J49" s="19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19"/>
      <c r="I50" s="19"/>
      <c r="J50" s="19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19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drawing r:id="rId1"/>
</worksheet>
</file>